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04ec7dd9b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6d379cf21e574d8f"/>
    <x:sheet xmlns:r="http://schemas.openxmlformats.org/officeDocument/2006/relationships" name="Fiche ouverture" sheetId="2" r:id="R36baddad555643e8"/>
    <x:sheet xmlns:r="http://schemas.openxmlformats.org/officeDocument/2006/relationships" name="Calendrier" sheetId="3" r:id="Ra0cf923b9472446b"/>
    <x:sheet xmlns:r="http://schemas.openxmlformats.org/officeDocument/2006/relationships" name="Hors mandat" sheetId="4" r:id="R30d61d3065194376"/>
    <x:sheet xmlns:r="http://schemas.openxmlformats.org/officeDocument/2006/relationships" name="Note décision" sheetId="5" r:id="R3989964be1a54355"/>
    <x:sheet xmlns:r="http://schemas.openxmlformats.org/officeDocument/2006/relationships" name="Sources" sheetId="6" r:id="R7335148f6c08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F76"/>
      <x:name val="Carlito"/>
    </x:font>
    <x:font>
      <x:b/>
      <x:sz val="10"/>
      <x:color rgb="FFFFFFFF"/>
      <x:name val="Carlito"/>
    </x:font>
    <x:font>
      <x:sz val="10"/>
      <x:color rgb="FF26343A"/>
      <x:name val="Carlito"/>
    </x:font>
    <x:font>
      <x:b/>
      <x:sz val="10"/>
      <x:color rgb="FF7A5A00"/>
      <x:name val="Carlito"/>
    </x:font>
    <x:font>
      <x:b/>
      <x:sz val="11"/>
      <x:color rgb="FF153E57"/>
      <x:name val="Carlito"/>
    </x:font>
    <x:font>
      <x:b/>
      <x:sz val="11"/>
      <x:color rgb="FF7A5A00"/>
      <x:name val="Carlito"/>
    </x:font>
    <x:font>
      <x:i/>
      <x:sz val="11"/>
      <x:color rgb="FF5F6F76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E57"/>
      </x:patternFill>
    </x:fill>
    <x:fill>
      <x:patternFill patternType="solid">
        <x:fgColor rgb="FFEAF1F5"/>
      </x:patternFill>
    </x:fill>
    <x:fill>
      <x:patternFill patternType="solid">
        <x:fgColor rgb="FF2A7F75"/>
      </x:patternFill>
    </x:fill>
    <x:fill>
      <x:patternFill patternType="solid">
        <x:fgColor rgb="FFFFF5DC"/>
      </x:patternFill>
    </x:fill>
    <x:fill>
      <x:patternFill patternType="solid">
        <x:fgColor rgb="FFEEF6F5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2A7F75"/>
      </x:left>
      <x:top style="thin">
        <x:color rgb="FF2A7F75"/>
      </x:top>
      <x:bottom style="thin">
        <x:color rgb="FF2A7F75"/>
      </x:bottom>
    </x:border>
    <x:border>
      <x:top style="thin">
        <x:color rgb="FF2A7F75"/>
      </x:top>
      <x:bottom style="thin">
        <x:color rgb="FF2A7F75"/>
      </x:bottom>
    </x:border>
    <x:border>
      <x:right style="thin">
        <x:color rgb="FF2A7F75"/>
      </x:right>
      <x:top style="thin">
        <x:color rgb="FF2A7F75"/>
      </x:top>
      <x:bottom style="thin">
        <x:color rgb="FF2A7F75"/>
      </x:bottom>
    </x:border>
    <x:border>
      <x:bottom style="thin">
        <x:color rgb="FFD8E1E3"/>
      </x:bottom>
    </x:border>
    <x:border>
      <x:top style="thin">
        <x:color rgb="FFD8E1E3"/>
      </x:top>
      <x:bottom style="thin">
        <x:color rgb="FFD8E1E3"/>
      </x:bottom>
    </x:border>
    <x:border>
      <x:left style="thin">
        <x:color rgb="FFD8E1E3"/>
      </x:left>
      <x:top style="thin">
        <x:color rgb="FFD8E1E3"/>
      </x:top>
      <x:bottom style="thin">
        <x:color rgb="FFD8E1E3"/>
      </x:bottom>
    </x:border>
    <x:border>
      <x:right style="thin">
        <x:color rgb="FFD8E1E3"/>
      </x:right>
      <x:top style="thin">
        <x:color rgb="FFD8E1E3"/>
      </x:top>
      <x:bottom style="thin">
        <x:color rgb="FFD8E1E3"/>
      </x:bottom>
    </x:border>
    <x:border>
      <x:left style="thin">
        <x:color rgb="FFD8E1E3"/>
      </x:left>
      <x:top style="thin">
        <x:color rgb="FFD8E1E3"/>
      </x:top>
    </x:border>
    <x:border>
      <x:top style="thin">
        <x:color rgb="FFD8E1E3"/>
      </x:top>
    </x:border>
    <x:border>
      <x:right style="thin">
        <x:color rgb="FFD8E1E3"/>
      </x:right>
      <x:top style="thin">
        <x:color rgb="FFD8E1E3"/>
      </x:top>
    </x:border>
    <x:border>
      <x:left style="thin">
        <x:color rgb="FFD8E1E3"/>
      </x:left>
    </x:border>
    <x:border>
      <x:right style="thin">
        <x:color rgb="FFD8E1E3"/>
      </x:right>
    </x:border>
    <x:border>
      <x:left style="thin">
        <x:color rgb="FFD8E1E3"/>
      </x:left>
      <x:bottom style="thin">
        <x:color rgb="FFD8E1E3"/>
      </x:bottom>
    </x:border>
    <x:border>
      <x:right style="thin">
        <x:color rgb="FFD8E1E3"/>
      </x:right>
      <x:bottom style="thin">
        <x:color rgb="FFD8E1E3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7" fillId="5" borderId="6" xfId="0" applyNumberFormat="1" applyFont="1" applyFill="1" applyBorder="1"/>
    <x:xf numFmtId="200" fontId="7" fillId="5" borderId="7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4" xfId="0" applyNumberFormat="1" applyFont="1" applyFill="1" applyBorder="1"/>
    <x:xf numFmtId="0" fontId="4" fillId="7" borderId="14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1B6B43"/>
      </x:font>
      <x:fill>
        <x:patternFill patternType="solid">
          <x:bgColor rgb="FFEAF6EF"/>
        </x:patternFill>
      </x:fill>
    </x:dxf>
    <x:dxf>
      <x:font>
        <x:b/>
        <x:color rgb="FF7A5A00"/>
      </x:font>
      <x:fill>
        <x:patternFill patternType="solid">
          <x:bgColor rgb="FFFFF5DC"/>
        </x:patternFill>
      </x:fill>
    </x:dxf>
    <x:dxf>
      <x:font>
        <x:b/>
        <x:color rgb="FF7A5A00"/>
      </x:font>
      <x:fill>
        <x:patternFill patternType="solid">
          <x:bgColor rgb="FFFFF5DC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b/>
        <x:color rgb="FF7B241C"/>
      </x:font>
      <x:fill>
        <x:patternFill patternType="solid">
          <x:bgColor rgb="FFF5B7B1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7A5A00"/>
      </x:font>
      <x:fill>
        <x:patternFill patternType="solid">
          <x:bgColor rgb="FFFFF5DC"/>
        </x:patternFill>
      </x:fill>
    </x:dxf>
    <x:dxf>
      <x:font>
        <x:color rgb="FF1B6B43"/>
      </x:font>
      <x:fill>
        <x:patternFill patternType="solid">
          <x:bgColor rgb="FFEAF6EF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b/>
        <x:color rgb="FF7B241C"/>
      </x:font>
      <x:fill>
        <x:patternFill patternType="solid">
          <x:bgColor rgb="FFF5B7B1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7A5A00"/>
      </x:font>
      <x:fill>
        <x:patternFill patternType="solid">
          <x:bgColor rgb="FFFFF5DC"/>
        </x:patternFill>
      </x:fill>
    </x:dxf>
    <x:dxf>
      <x:font>
        <x:color rgb="FF1B6B43"/>
      </x:font>
      <x:fill>
        <x:patternFill patternType="solid">
          <x:bgColor rgb="FFEAF6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c4aed0a9145b4" /><Relationship Type="http://schemas.openxmlformats.org/officeDocument/2006/relationships/theme" Target="/xl/theme/theme1.xml" Id="R235a1ca48f52462c" /><Relationship Type="http://schemas.openxmlformats.org/officeDocument/2006/relationships/sharedStrings" Target="/xl/sharedStrings.xml" Id="Ra94a619a9b3240ee" /><Relationship Type="http://schemas.openxmlformats.org/officeDocument/2006/relationships/worksheet" Target="/xl/worksheets/sheet1.xml" Id="R6d379cf21e574d8f" /><Relationship Type="http://schemas.openxmlformats.org/officeDocument/2006/relationships/worksheet" Target="/xl/worksheets/sheet2.xml" Id="R36baddad555643e8" /><Relationship Type="http://schemas.openxmlformats.org/officeDocument/2006/relationships/worksheet" Target="/xl/worksheets/sheet3.xml" Id="Ra0cf923b9472446b" /><Relationship Type="http://schemas.openxmlformats.org/officeDocument/2006/relationships/worksheet" Target="/xl/worksheets/sheet4.xml" Id="R30d61d3065194376" /><Relationship Type="http://schemas.openxmlformats.org/officeDocument/2006/relationships/worksheet" Target="/xl/worksheets/sheet5.xml" Id="R3989964be1a54355" /><Relationship Type="http://schemas.openxmlformats.org/officeDocument/2006/relationships/worksheet" Target="/xl/worksheets/sheet6.xml" Id="R7335148f6c08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30" hidden="0" customWidth="1"/>
    <x:col min="4" max="4" width="15" hidden="0" customWidth="1"/>
    <x:col min="5" max="5" width="20" hidden="0" customWidth="1"/>
    <x:col min="6" max="6" width="38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TC01 — Outils d’ouverture de mandat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Version 1.3 apprenant — cas Léman Atelier Sàrl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Ordre</x:v>
      </x:c>
      <x:c r="B4" s="17" t="str">
        <x:v>Étape</x:v>
      </x:c>
      <x:c r="C4" s="17" t="str">
        <x:v>Livrable</x:v>
      </x:c>
      <x:c r="D4" s="17" t="str">
        <x:v>Responsable</x:v>
      </x:c>
      <x:c r="E4" s="17" t="str">
        <x:v>Seuil</x:v>
      </x:c>
      <x:c r="F4" s="17" t="str">
        <x:v>Erreur critique</x:v>
      </x:c>
      <x:c r="G4" s="17" t="str">
        <x:v>Fichier</x:v>
      </x:c>
      <x:c r="H4" s="18" t="str">
        <x:v>Statut</x:v>
      </x:c>
    </x:row>
    <x:row r="5">
      <x:c r="A5" s="24" t="n">
        <x:v>1</x:v>
      </x:c>
      <x:c r="B5" s="24" t="str">
        <x:v>Lire le cours et le dossier</x:v>
      </x:c>
      <x:c r="C5" s="24" t="str">
        <x:v>Compréhension du cas</x:v>
      </x:c>
      <x:c r="D5" s="24" t="str">
        <x:v>Apprenant</x:v>
      </x:c>
      <x:c r="E5" s="24" t="str">
        <x:v>Complet</x:v>
      </x:c>
      <x:c r="F5" s="24" t="str">
        <x:v>Ouvrir le corrigé avant remise</x:v>
      </x:c>
      <x:c r="G5" s="24" t="str">
        <x:v>01 / 02</x:v>
      </x:c>
      <x:c r="H5" s="24" t="str">
        <x:v>À faire</x:v>
      </x:c>
    </x:row>
    <x:row r="6">
      <x:c r="A6" s="25" t="n">
        <x:v>2</x:v>
      </x:c>
      <x:c r="B6" s="25" t="str">
        <x:v>Compléter Fiche ouverture</x:v>
      </x:c>
      <x:c r="C6" s="25" t="str">
        <x:v>Contrôles documentés</x:v>
      </x:c>
      <x:c r="D6" s="25" t="str">
        <x:v>Apprenant</x:v>
      </x:c>
      <x:c r="E6" s="25" t="str">
        <x:v>26 lignes</x:v>
      </x:c>
      <x:c r="F6" s="25" t="str">
        <x:v>Pouvoirs, données ou périmètre supposés</x:v>
      </x:c>
      <x:c r="G6" s="25" t="str">
        <x:v>Classeur</x:v>
      </x:c>
      <x:c r="H6" s="25" t="str">
        <x:v>À faire</x:v>
      </x:c>
    </x:row>
    <x:row r="7">
      <x:c r="A7" s="25" t="n">
        <x:v>3</x:v>
      </x:c>
      <x:c r="B7" s="25" t="str">
        <x:v>Construire Calendrier</x:v>
      </x:c>
      <x:c r="C7" s="25" t="str">
        <x:v>Dates, dépendances et alertes</x:v>
      </x:c>
      <x:c r="D7" s="25" t="str">
        <x:v>Apprenant</x:v>
      </x:c>
      <x:c r="E7" s="25" t="str">
        <x:v>Aucune date inventée</x:v>
      </x:c>
      <x:c r="F7" s="25" t="str">
        <x:v>Échéance officielle non vérifiée présentée comme certaine</x:v>
      </x:c>
      <x:c r="G7" s="25" t="str">
        <x:v>Classeur</x:v>
      </x:c>
      <x:c r="H7" s="25" t="str">
        <x:v>À faire</x:v>
      </x:c>
    </x:row>
    <x:row r="8">
      <x:c r="A8" s="25" t="n">
        <x:v>4</x:v>
      </x:c>
      <x:c r="B8" s="25" t="str">
        <x:v>Qualifier Hors mandat</x:v>
      </x:c>
      <x:c r="C8" s="25" t="str">
        <x:v>Décisions et validations</x:v>
      </x:c>
      <x:c r="D8" s="25" t="str">
        <x:v>Apprenant</x:v>
      </x:c>
      <x:c r="E8" s="25" t="str">
        <x:v>Toutes les demandes</x:v>
      </x:c>
      <x:c r="F8" s="25" t="str">
        <x:v>Paiement, dépôt ou paie autorisé à tort</x:v>
      </x:c>
      <x:c r="G8" s="25" t="str">
        <x:v>Classeur</x:v>
      </x:c>
      <x:c r="H8" s="25" t="str">
        <x:v>À faire</x:v>
      </x:c>
    </x:row>
    <x:row r="9">
      <x:c r="A9" s="25" t="n">
        <x:v>5</x:v>
      </x:c>
      <x:c r="B9" s="25" t="str">
        <x:v>Rédiger Note décision</x:v>
      </x:c>
      <x:c r="C9" s="25" t="str">
        <x:v>GO / conditions / actes suspendus</x:v>
      </x:c>
      <x:c r="D9" s="25" t="str">
        <x:v>Apprenant</x:v>
      </x:c>
      <x:c r="E9" s="25" t="str">
        <x:v>250–400 mots</x:v>
      </x:c>
      <x:c r="F9" s="25" t="str">
        <x:v>Risque critique masqué</x:v>
      </x:c>
      <x:c r="G9" s="25" t="str">
        <x:v>Classeur</x:v>
      </x:c>
      <x:c r="H9" s="25" t="str">
        <x:v>À faire</x:v>
      </x:c>
    </x:row>
    <x:row r="10">
      <x:c r="A10" s="25" t="n">
        <x:v>6</x:v>
      </x:c>
      <x:c r="B10" s="25" t="str">
        <x:v>Passer le quiz</x:v>
      </x:c>
      <x:c r="C10" s="25" t="str">
        <x:v>Réponses A–D</x:v>
      </x:c>
      <x:c r="D10" s="25" t="str">
        <x:v>Apprenant</x:v>
      </x:c>
      <x:c r="E10" s="25" t="str">
        <x:v>14/16 + 4 critiques</x:v>
      </x:c>
      <x:c r="F10" s="25" t="str">
        <x:v>Une critique fausse</x:v>
      </x:c>
      <x:c r="G10" s="25" t="str">
        <x:v>Feuille réponses</x:v>
      </x:c>
      <x:c r="H10" s="25" t="str">
        <x:v>À faire</x:v>
      </x:c>
    </x:row>
    <x:row r="11">
      <x:c r="A11" s="25" t="n">
        <x:v>7</x:v>
      </x:c>
      <x:c r="B11" s="25" t="str">
        <x:v>Revue</x:v>
      </x:c>
      <x:c r="C11" s="25" t="str">
        <x:v>Score, contrôles critiques et décision calculée</x:v>
      </x:c>
      <x:c r="D11" s="25" t="str">
        <x:v>Responsable</x:v>
      </x:c>
      <x:c r="E11" s="25" t="str">
        <x:v>80/100 pratique</x:v>
      </x:c>
      <x:c r="F11" s="25" t="str">
        <x:v>Validation sans revue complète</x:v>
      </x:c>
      <x:c r="G11" s="25" t="str">
        <x:v>Grille revue</x:v>
      </x:c>
      <x:c r="H11" s="25" t="str">
        <x:v>Après remise</x:v>
      </x:c>
    </x:row>
    <x:row r="13" ht="38" customHeight="1">
      <x:c r="A13" s="28" t="str">
        <x:v>Tous les noms, numéros et documents sont fictifs. Version 1.3; sources revues pour la construction pédagogique le 6 août 2026; confirmer le droit et la procédure avant usage réel.</x:v>
      </x:c>
      <x:c r="B13" s="28"/>
      <x:c r="C13" s="28"/>
      <x:c r="D13" s="28"/>
      <x:c r="E13" s="28"/>
      <x:c r="F13" s="28"/>
      <x:c r="G13" s="28"/>
      <x:c r="H13" s="28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8" hidden="0" customWidth="1"/>
    <x:col min="4" max="4" width="17" hidden="0" customWidth="1"/>
    <x:col min="5" max="5" width="28" hidden="0" customWidth="1"/>
    <x:col min="6" max="6" width="16" hidden="0" customWidth="1"/>
    <x:col min="7" max="7" width="14" hidden="0" customWidth="1"/>
    <x:col min="8" max="8" width="13" hidden="0" customWidth="1"/>
    <x:col min="9" max="9" width="38" hidden="0" customWidth="1"/>
  </x:cols>
  <x:sheetData>
    <x:row r="1" ht="34" customHeight="1">
      <x:c r="A1" s="3" t="str">
        <x:v>Fiche d’ouverture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Documenter la source, l’état, le responsable et le risque de chaque contrôle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31" t="str">
        <x:v>Décision proposée</x:v>
      </x:c>
      <x:c r="B4" s="32" t="str">
        <x:v>À choisir</x:v>
      </x:c>
      <x:c r="D4" s="31" t="str">
        <x:v>Contrôles confirmés</x:v>
      </x:c>
      <x:c r="E4" s="32" t="n">
        <x:f>COUNTIF(D8:D33,"Confirmé")</x:f>
        <x:v>0</x:v>
      </x:c>
      <x:c r="G4" s="31" t="str">
        <x:v>Risques critiques</x:v>
      </x:c>
      <x:c r="H4" s="32" t="n">
        <x:f>COUNTIF(H8:H33,"Critique")</x:f>
        <x:v>0</x:v>
      </x:c>
    </x:row>
    <x:row r="7" ht="28" customHeight="1">
      <x:c r="A7" s="16" t="str">
        <x:v>Catégorie</x:v>
      </x:c>
      <x:c r="B7" s="17" t="str">
        <x:v>Point de contrôle</x:v>
      </x:c>
      <x:c r="C7" s="17" t="str">
        <x:v>Réponse / constat</x:v>
      </x:c>
      <x:c r="D7" s="17" t="str">
        <x:v>Statut</x:v>
      </x:c>
      <x:c r="E7" s="17" t="str">
        <x:v>Preuve / source</x:v>
      </x:c>
      <x:c r="F7" s="17" t="str">
        <x:v>Responsable</x:v>
      </x:c>
      <x:c r="G7" s="17" t="str">
        <x:v>Échéance</x:v>
      </x:c>
      <x:c r="H7" s="17" t="str">
        <x:v>Risque</x:v>
      </x:c>
      <x:c r="I7" s="18" t="str">
        <x:v>Commentaire / action</x:v>
      </x:c>
    </x:row>
    <x:row r="8">
      <x:c r="A8" s="24" t="str">
        <x:v>Entité</x:v>
      </x:c>
      <x:c r="B8" s="24" t="str">
        <x:v>Raison sociale et forme juridique</x:v>
      </x:c>
      <x:c r="C8" s="24" t="str"/>
      <x:c r="D8" s="24" t="str">
        <x:v>Non analysé</x:v>
      </x:c>
      <x:c r="E8" s="24" t="str"/>
      <x:c r="F8" s="24" t="str"/>
      <x:c r="G8" s="33" t="str"/>
      <x:c r="H8" s="24" t="str"/>
      <x:c r="I8" s="24" t="str"/>
    </x:row>
    <x:row r="9">
      <x:c r="A9" s="25" t="str">
        <x:v>Entité</x:v>
      </x:c>
      <x:c r="B9" s="25" t="str">
        <x:v>Siège, adresse et canton</x:v>
      </x:c>
      <x:c r="C9" s="25" t="str"/>
      <x:c r="D9" s="25" t="str">
        <x:v>Non analysé</x:v>
      </x:c>
      <x:c r="E9" s="25" t="str"/>
      <x:c r="F9" s="25" t="str"/>
      <x:c r="G9" s="34" t="str"/>
      <x:c r="H9" s="25" t="str"/>
      <x:c r="I9" s="25" t="str"/>
    </x:row>
    <x:row r="10">
      <x:c r="A10" s="25" t="str">
        <x:v>Entité</x:v>
      </x:c>
      <x:c r="B10" s="25" t="str">
        <x:v>IDE et statut actif</x:v>
      </x:c>
      <x:c r="C10" s="25" t="str"/>
      <x:c r="D10" s="25" t="str">
        <x:v>Non analysé</x:v>
      </x:c>
      <x:c r="E10" s="25" t="str"/>
      <x:c r="F10" s="25" t="str"/>
      <x:c r="G10" s="34" t="str"/>
      <x:c r="H10" s="25" t="str"/>
      <x:c r="I10" s="25" t="str"/>
    </x:row>
    <x:row r="11">
      <x:c r="A11" s="25" t="str">
        <x:v>Pouvoirs</x:v>
      </x:c>
      <x:c r="B11" s="25" t="str">
        <x:v>Extrait RC actuel et date de vérification</x:v>
      </x:c>
      <x:c r="C11" s="25" t="str"/>
      <x:c r="D11" s="25" t="str">
        <x:v>Non analysé</x:v>
      </x:c>
      <x:c r="E11" s="25" t="str"/>
      <x:c r="F11" s="25" t="str"/>
      <x:c r="G11" s="34" t="str"/>
      <x:c r="H11" s="25" t="str"/>
      <x:c r="I11" s="25" t="str"/>
    </x:row>
    <x:row r="12">
      <x:c r="A12" s="25" t="str">
        <x:v>Pouvoirs</x:v>
      </x:c>
      <x:c r="B12" s="25" t="str">
        <x:v>Personne habilitée à donner des instructions</x:v>
      </x:c>
      <x:c r="C12" s="25" t="str"/>
      <x:c r="D12" s="25" t="str">
        <x:v>Non analysé</x:v>
      </x:c>
      <x:c r="E12" s="25" t="str"/>
      <x:c r="F12" s="25" t="str"/>
      <x:c r="G12" s="34" t="str"/>
      <x:c r="H12" s="25" t="str"/>
      <x:c r="I12" s="25" t="str"/>
    </x:row>
    <x:row r="13">
      <x:c r="A13" s="25" t="str">
        <x:v>Pouvoirs</x:v>
      </x:c>
      <x:c r="B13" s="25" t="str">
        <x:v>Délégation pendant l’absence de la gérante</x:v>
      </x:c>
      <x:c r="C13" s="25" t="str"/>
      <x:c r="D13" s="25" t="str">
        <x:v>Non analysé</x:v>
      </x:c>
      <x:c r="E13" s="25" t="str"/>
      <x:c r="F13" s="25" t="str"/>
      <x:c r="G13" s="34" t="str"/>
      <x:c r="H13" s="25" t="str"/>
      <x:c r="I13" s="25" t="str"/>
    </x:row>
    <x:row r="14">
      <x:c r="A14" s="25" t="str">
        <x:v>Mandat</x:v>
      </x:c>
      <x:c r="B14" s="25" t="str">
        <x:v>Version signée et période couverte</x:v>
      </x:c>
      <x:c r="C14" s="25" t="str"/>
      <x:c r="D14" s="25" t="str">
        <x:v>Non analysé</x:v>
      </x:c>
      <x:c r="E14" s="25" t="str"/>
      <x:c r="F14" s="25" t="str"/>
      <x:c r="G14" s="34" t="str"/>
      <x:c r="H14" s="25" t="str"/>
      <x:c r="I14" s="25" t="str"/>
    </x:row>
    <x:row r="15">
      <x:c r="A15" s="25" t="str">
        <x:v>Mandat</x:v>
      </x:c>
      <x:c r="B15" s="25" t="str">
        <x:v>Prestations incluses</x:v>
      </x:c>
      <x:c r="C15" s="25" t="str"/>
      <x:c r="D15" s="25" t="str">
        <x:v>Non analysé</x:v>
      </x:c>
      <x:c r="E15" s="25" t="str"/>
      <x:c r="F15" s="25" t="str"/>
      <x:c r="G15" s="34" t="str"/>
      <x:c r="H15" s="25" t="str"/>
      <x:c r="I15" s="25" t="str"/>
    </x:row>
    <x:row r="16">
      <x:c r="A16" s="25" t="str">
        <x:v>Mandat</x:v>
      </x:c>
      <x:c r="B16" s="25" t="str">
        <x:v>Prestations exclues / complémentaires</x:v>
      </x:c>
      <x:c r="C16" s="25" t="str"/>
      <x:c r="D16" s="25" t="str">
        <x:v>Non analysé</x:v>
      </x:c>
      <x:c r="E16" s="25" t="str"/>
      <x:c r="F16" s="25" t="str"/>
      <x:c r="G16" s="34" t="str"/>
      <x:c r="H16" s="25" t="str"/>
      <x:c r="I16" s="25" t="str"/>
    </x:row>
    <x:row r="17">
      <x:c r="A17" s="25" t="str">
        <x:v>Mandat</x:v>
      </x:c>
      <x:c r="B17" s="25" t="str">
        <x:v>Circuit de préparation, revue, approbation et dépôt</x:v>
      </x:c>
      <x:c r="C17" s="25" t="str"/>
      <x:c r="D17" s="25" t="str">
        <x:v>Non analysé</x:v>
      </x:c>
      <x:c r="E17" s="25" t="str"/>
      <x:c r="F17" s="25" t="str"/>
      <x:c r="G17" s="34" t="str"/>
      <x:c r="H17" s="25" t="str"/>
      <x:c r="I17" s="25" t="str"/>
    </x:row>
    <x:row r="18">
      <x:c r="A18" s="25" t="str">
        <x:v>TVA</x:v>
      </x:c>
      <x:c r="B18" s="25" t="str">
        <x:v>Statut, méthode et périodicité confirmés</x:v>
      </x:c>
      <x:c r="C18" s="25" t="str"/>
      <x:c r="D18" s="25" t="str">
        <x:v>Non analysé</x:v>
      </x:c>
      <x:c r="E18" s="25" t="str"/>
      <x:c r="F18" s="25" t="str"/>
      <x:c r="G18" s="34" t="str"/>
      <x:c r="H18" s="25" t="str"/>
      <x:c r="I18" s="25" t="str"/>
    </x:row>
    <x:row r="19">
      <x:c r="A19" s="25" t="str">
        <x:v>Comptabilité</x:v>
      </x:c>
      <x:c r="B19" s="25" t="str">
        <x:v>Exercice, logiciel et plan comptable</x:v>
      </x:c>
      <x:c r="C19" s="25" t="str"/>
      <x:c r="D19" s="25" t="str">
        <x:v>Non analysé</x:v>
      </x:c>
      <x:c r="E19" s="25" t="str"/>
      <x:c r="F19" s="25" t="str"/>
      <x:c r="G19" s="34" t="str"/>
      <x:c r="H19" s="25" t="str"/>
      <x:c r="I19" s="25" t="str"/>
    </x:row>
    <x:row r="20">
      <x:c r="A20" s="25" t="str">
        <x:v>Accès</x:v>
      </x:c>
      <x:c r="B20" s="25" t="str">
        <x:v>Accès nominatif au logiciel</x:v>
      </x:c>
      <x:c r="C20" s="25" t="str"/>
      <x:c r="D20" s="25" t="str">
        <x:v>Non analysé</x:v>
      </x:c>
      <x:c r="E20" s="25" t="str"/>
      <x:c r="F20" s="25" t="str"/>
      <x:c r="G20" s="34" t="str"/>
      <x:c r="H20" s="25" t="str"/>
      <x:c r="I20" s="25" t="str"/>
    </x:row>
    <x:row r="21">
      <x:c r="A21" s="25" t="str">
        <x:v>Accès</x:v>
      </x:c>
      <x:c r="B21" s="25" t="str">
        <x:v>Droits bancaires conformes au moindre privilège</x:v>
      </x:c>
      <x:c r="C21" s="25" t="str"/>
      <x:c r="D21" s="25" t="str">
        <x:v>Non analysé</x:v>
      </x:c>
      <x:c r="E21" s="25" t="str"/>
      <x:c r="F21" s="25" t="str"/>
      <x:c r="G21" s="34" t="str"/>
      <x:c r="H21" s="25" t="str"/>
      <x:c r="I21" s="25" t="str"/>
    </x:row>
    <x:row r="22">
      <x:c r="A22" s="25" t="str">
        <x:v>Données</x:v>
      </x:c>
      <x:c r="B22" s="25" t="str">
        <x:v>Finalité et minimisation documentées</x:v>
      </x:c>
      <x:c r="C22" s="25" t="str"/>
      <x:c r="D22" s="25" t="str">
        <x:v>Non analysé</x:v>
      </x:c>
      <x:c r="E22" s="25" t="str"/>
      <x:c r="F22" s="25" t="str"/>
      <x:c r="G22" s="34" t="str"/>
      <x:c r="H22" s="25" t="str"/>
      <x:c r="I22" s="25" t="str"/>
    </x:row>
    <x:row r="23">
      <x:c r="A23" s="25" t="str">
        <x:v>Données</x:v>
      </x:c>
      <x:c r="B23" s="25" t="str">
        <x:v>Sous-traitants, cloud et lieux de traitement vérifiés</x:v>
      </x:c>
      <x:c r="C23" s="25" t="str"/>
      <x:c r="D23" s="25" t="str">
        <x:v>Non analysé</x:v>
      </x:c>
      <x:c r="E23" s="25" t="str"/>
      <x:c r="F23" s="25" t="str"/>
      <x:c r="G23" s="34" t="str"/>
      <x:c r="H23" s="25" t="str"/>
      <x:c r="I23" s="25" t="str"/>
    </x:row>
    <x:row r="24">
      <x:c r="A24" s="25" t="str">
        <x:v>Données</x:v>
      </x:c>
      <x:c r="B24" s="25" t="str">
        <x:v>Procédure incident et retrait des accès identifiée</x:v>
      </x:c>
      <x:c r="C24" s="25" t="str"/>
      <x:c r="D24" s="25" t="str">
        <x:v>Non analysé</x:v>
      </x:c>
      <x:c r="E24" s="25" t="str"/>
      <x:c r="F24" s="25" t="str"/>
      <x:c r="G24" s="34" t="str"/>
      <x:c r="H24" s="25" t="str"/>
      <x:c r="I24" s="25" t="str"/>
    </x:row>
    <x:row r="25">
      <x:c r="A25" s="25" t="str">
        <x:v>Paiements</x:v>
      </x:c>
      <x:c r="B25" s="25" t="str">
        <x:v>Politique cabinet et éventuel périmètre LBA/OBA/FINMA escaladés</x:v>
      </x:c>
      <x:c r="C25" s="25" t="str"/>
      <x:c r="D25" s="25" t="str">
        <x:v>Non analysé</x:v>
      </x:c>
      <x:c r="E25" s="25" t="str"/>
      <x:c r="F25" s="25" t="str"/>
      <x:c r="G25" s="34" t="str"/>
      <x:c r="H25" s="25" t="str"/>
      <x:c r="I25" s="25" t="str"/>
    </x:row>
    <x:row r="26">
      <x:c r="A26" s="25" t="str">
        <x:v>Pièces</x:v>
      </x:c>
      <x:c r="B26" s="25" t="str">
        <x:v>Séquence complète des factures clients</x:v>
      </x:c>
      <x:c r="C26" s="25" t="str"/>
      <x:c r="D26" s="25" t="str">
        <x:v>Non analysé</x:v>
      </x:c>
      <x:c r="E26" s="25" t="str"/>
      <x:c r="F26" s="25" t="str"/>
      <x:c r="G26" s="34" t="str"/>
      <x:c r="H26" s="25" t="str"/>
      <x:c r="I26" s="25" t="str"/>
    </x:row>
    <x:row r="27">
      <x:c r="A27" s="25" t="str">
        <x:v>Pièces</x:v>
      </x:c>
      <x:c r="B27" s="25" t="str">
        <x:v>Relevés bancaires de la période</x:v>
      </x:c>
      <x:c r="C27" s="25" t="str"/>
      <x:c r="D27" s="25" t="str">
        <x:v>Non analysé</x:v>
      </x:c>
      <x:c r="E27" s="25" t="str"/>
      <x:c r="F27" s="25" t="str"/>
      <x:c r="G27" s="34" t="str"/>
      <x:c r="H27" s="25" t="str"/>
      <x:c r="I27" s="25" t="str"/>
    </x:row>
    <x:row r="28">
      <x:c r="A28" s="25" t="str">
        <x:v>Calendrier</x:v>
      </x:c>
      <x:c r="B28" s="25" t="str">
        <x:v>Échéance officielle vérifiée</x:v>
      </x:c>
      <x:c r="C28" s="25" t="str"/>
      <x:c r="D28" s="25" t="str">
        <x:v>Non analysé</x:v>
      </x:c>
      <x:c r="E28" s="25" t="str"/>
      <x:c r="F28" s="25" t="str"/>
      <x:c r="G28" s="34" t="str"/>
      <x:c r="H28" s="25" t="str"/>
      <x:c r="I28" s="25" t="str"/>
    </x:row>
    <x:row r="29">
      <x:c r="A29" s="25" t="str">
        <x:v>Calendrier</x:v>
      </x:c>
      <x:c r="B29" s="25" t="str">
        <x:v>Dates client, production et revue définies</x:v>
      </x:c>
      <x:c r="C29" s="25" t="str"/>
      <x:c r="D29" s="25" t="str">
        <x:v>Non analysé</x:v>
      </x:c>
      <x:c r="E29" s="25" t="str"/>
      <x:c r="F29" s="25" t="str"/>
      <x:c r="G29" s="34" t="str"/>
      <x:c r="H29" s="25" t="str"/>
      <x:c r="I29" s="25" t="str"/>
    </x:row>
    <x:row r="30">
      <x:c r="A30" s="25" t="str">
        <x:v>Communication</x:v>
      </x:c>
      <x:c r="B30" s="25" t="str">
        <x:v>Liste de pièces priorisée envoyée</x:v>
      </x:c>
      <x:c r="C30" s="25" t="str"/>
      <x:c r="D30" s="25" t="str">
        <x:v>Non analysé</x:v>
      </x:c>
      <x:c r="E30" s="25" t="str"/>
      <x:c r="F30" s="25" t="str"/>
      <x:c r="G30" s="34" t="str"/>
      <x:c r="H30" s="25" t="str"/>
      <x:c r="I30" s="25" t="str"/>
    </x:row>
    <x:row r="31">
      <x:c r="A31" s="25" t="str">
        <x:v>Décision</x:v>
      </x:c>
      <x:c r="B31" s="25" t="str">
        <x:v>GO / GO sous conditions / NO-GO proposé</x:v>
      </x:c>
      <x:c r="C31" s="25" t="str"/>
      <x:c r="D31" s="25" t="str">
        <x:v>Non analysé</x:v>
      </x:c>
      <x:c r="E31" s="25" t="str"/>
      <x:c r="F31" s="25" t="str"/>
      <x:c r="G31" s="34" t="str"/>
      <x:c r="H31" s="25" t="str"/>
      <x:c r="I31" s="25" t="str"/>
    </x:row>
    <x:row r="32">
      <x:c r="A32" s="25" t="str">
        <x:v>Décision</x:v>
      </x:c>
      <x:c r="B32" s="25" t="str">
        <x:v>Actes suspendus explicitement identifiés</x:v>
      </x:c>
      <x:c r="C32" s="25" t="str"/>
      <x:c r="D32" s="25" t="str">
        <x:v>Non analysé</x:v>
      </x:c>
      <x:c r="E32" s="25" t="str"/>
      <x:c r="F32" s="25" t="str"/>
      <x:c r="G32" s="34" t="str"/>
      <x:c r="H32" s="25" t="str"/>
      <x:c r="I32" s="25" t="str"/>
    </x:row>
    <x:row r="33">
      <x:c r="A33" s="25" t="str">
        <x:v>Archivage</x:v>
      </x:c>
      <x:c r="B33" s="25" t="str">
        <x:v>Emplacement, version et durée de conservation définis</x:v>
      </x:c>
      <x:c r="C33" s="25" t="str"/>
      <x:c r="D33" s="25" t="str">
        <x:v>Non analysé</x:v>
      </x:c>
      <x:c r="E33" s="25" t="str"/>
      <x:c r="F33" s="25" t="str"/>
      <x:c r="G33" s="34" t="str"/>
      <x:c r="H33" s="25" t="str"/>
      <x:c r="I33" s="25" t="str"/>
    </x:row>
  </x:sheetData>
  <x:mergeCells>
    <x:mergeCell ref="A1:I1"/>
    <x:mergeCell ref="A2:I2"/>
  </x:mergeCells>
  <x:conditionalFormatting sqref="D8:D33">
    <x:cfRule type="containsText" dxfId="0" priority="1" operator="containsText" text="Confirmé"/>
    <x:cfRule type="containsText" dxfId="1" priority="2" operator="containsText" text="À obtenir"/>
    <x:cfRule type="containsText" dxfId="2" priority="3" operator="containsText" text="À confirmer"/>
    <x:cfRule type="containsText" dxfId="3" priority="4" operator="containsText" text="Non conforme"/>
    <x:cfRule type="containsText" dxfId="4" priority="5" operator="containsText" text="Hors mandat"/>
  </x:conditionalFormatting>
  <x:conditionalFormatting sqref="H8:H33">
    <x:cfRule type="containsText" dxfId="5" priority="6" operator="containsText" text="Critique"/>
    <x:cfRule type="containsText" dxfId="6" priority="7" operator="containsText" text="Élevé"/>
    <x:cfRule type="containsText" dxfId="7" priority="8" operator="containsText" text="Moyen"/>
    <x:cfRule type="containsText" dxfId="8" priority="9" operator="containsText" text="Faible"/>
  </x:conditionalFormatting>
  <x:dataValidations count="3">
    <x:dataValidation type="list" sqref="B4">
      <x:formula1>"À choisir,GO,GO sous conditions,NO-GO"</x:formula1>
    </x:dataValidation>
    <x:dataValidation type="list" sqref="D8:D33">
      <x:formula1>"Non analysé,Confirmé,À obtenir,À confirmer,Hors mandat,Non conforme,N/A"</x:formula1>
    </x:dataValidation>
    <x:dataValidation type="list" sqref="H8:H33">
      <x:formula1>",Faible,Moyen,Élevé,Critique"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5" hidden="0" customWidth="1"/>
    <x:col min="4" max="4" width="18" hidden="0" customWidth="1"/>
    <x:col min="5" max="5" width="30" hidden="0" customWidth="1"/>
    <x:col min="6" max="6" width="16" hidden="0" customWidth="1"/>
    <x:col min="7" max="7" width="14" hidden="0" customWidth="1"/>
    <x:col min="8" max="8" width="38" hidden="0" customWidth="1"/>
  </x:cols>
  <x:sheetData>
    <x:row r="1" ht="34" customHeight="1">
      <x:c r="A1" s="3" t="str">
        <x:v>Calendrier des obligations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Date de référence fixe: le cas ne vieillit pas avec TODAY()</x:v>
      </x:c>
      <x:c r="B2" s="7"/>
      <x:c r="C2" s="7"/>
      <x:c r="D2" s="7"/>
      <x:c r="E2" s="7"/>
      <x:c r="F2" s="7"/>
      <x:c r="G2" s="7"/>
      <x:c r="H2" s="7"/>
    </x:row>
    <x:row r="4">
      <x:c r="A4" s="39" t="str">
        <x:v>Date de référence du cas</x:v>
      </x:c>
      <x:c r="B4" s="40" t="n">
        <x:v>46212</x:v>
      </x:c>
      <x:c r="D4" s="42" t="str">
        <x:v>Distinguer échéance légale, délai client, production, revue, approbation et dépôt.</x:v>
      </x:c>
      <x:c r="E4" s="42"/>
      <x:c r="F4" s="42"/>
      <x:c r="G4" s="42"/>
      <x:c r="H4" s="42"/>
    </x:row>
    <x:row r="6" ht="28" customHeight="1">
      <x:c r="A6" s="16" t="str">
        <x:v>Jalon / obligation</x:v>
      </x:c>
      <x:c r="B6" s="17" t="str">
        <x:v>Type</x:v>
      </x:c>
      <x:c r="C6" s="17" t="str">
        <x:v>Date</x:v>
      </x:c>
      <x:c r="D6" s="17" t="str">
        <x:v>Responsable</x:v>
      </x:c>
      <x:c r="E6" s="17" t="str">
        <x:v>Dépendance</x:v>
      </x:c>
      <x:c r="F6" s="17" t="str">
        <x:v>Statut</x:v>
      </x:c>
      <x:c r="G6" s="17" t="str">
        <x:v>Alerte / jours</x:v>
      </x:c>
      <x:c r="H6" s="18" t="str">
        <x:v>Source / commentaire</x:v>
      </x:c>
    </x:row>
    <x:row r="7">
      <x:c r="A7" s="24" t="str">
        <x:v>Réception complète des pièces T2</x:v>
      </x:c>
      <x:c r="B7" s="24" t="str">
        <x:v>Client</x:v>
      </x:c>
      <x:c r="C7" s="33" t="str"/>
      <x:c r="D7" s="24" t="str"/>
      <x:c r="E7" s="24" t="str"/>
      <x:c r="F7" s="24" t="str">
        <x:v>À planifier</x:v>
      </x:c>
      <x:c r="G7" s="24" t="str">
        <x:f>IF(OR(C7="",F7="Terminé"),"",C7-$B$4)</x:f>
      </x:c>
      <x:c r="H7" s="24" t="str">
        <x:v>À compléter après analyse</x:v>
      </x:c>
    </x:row>
    <x:row r="8">
      <x:c r="A8" s="25" t="str">
        <x:v>Préparation comptable et projet TVA</x:v>
      </x:c>
      <x:c r="B8" s="25" t="str">
        <x:v>Interne</x:v>
      </x:c>
      <x:c r="C8" s="34" t="str"/>
      <x:c r="D8" s="25" t="str"/>
      <x:c r="E8" s="25" t="str"/>
      <x:c r="F8" s="25" t="str">
        <x:v>À planifier</x:v>
      </x:c>
      <x:c r="G8" s="25" t="str">
        <x:f>IF(OR(C8="",F8="Terminé"),"",C8-$B$4)</x:f>
      </x:c>
      <x:c r="H8" s="25" t="str"/>
    </x:row>
    <x:row r="9">
      <x:c r="A9" s="25" t="str">
        <x:v>Revue responsable</x:v>
      </x:c>
      <x:c r="B9" s="25" t="str">
        <x:v>Interne</x:v>
      </x:c>
      <x:c r="C9" s="34" t="str"/>
      <x:c r="D9" s="25" t="str"/>
      <x:c r="E9" s="25" t="str"/>
      <x:c r="F9" s="25" t="str">
        <x:v>À planifier</x:v>
      </x:c>
      <x:c r="G9" s="25" t="str">
        <x:f>IF(OR(C9="",F9="Terminé"),"",C9-$B$4)</x:f>
      </x:c>
      <x:c r="H9" s="25" t="str"/>
    </x:row>
    <x:row r="10">
      <x:c r="A10" s="25" t="str">
        <x:v>Approbation client</x:v>
      </x:c>
      <x:c r="B10" s="25" t="str">
        <x:v>Client</x:v>
      </x:c>
      <x:c r="C10" s="34" t="str"/>
      <x:c r="D10" s="25" t="str"/>
      <x:c r="E10" s="25" t="str"/>
      <x:c r="F10" s="25" t="str">
        <x:v>À confirmer</x:v>
      </x:c>
      <x:c r="G10" s="25" t="str">
        <x:f>IF(OR(C10="",F10="Terminé"),"",C10-$B$4)</x:f>
      </x:c>
      <x:c r="H10" s="25" t="str">
        <x:v>Pouvoir et délégation?</x:v>
      </x:c>
    </x:row>
    <x:row r="11">
      <x:c r="A11" s="25" t="str">
        <x:v>Dépôt TVA</x:v>
      </x:c>
      <x:c r="B11" s="25" t="str">
        <x:v>Interne</x:v>
      </x:c>
      <x:c r="C11" s="34" t="str"/>
      <x:c r="D11" s="25" t="str"/>
      <x:c r="E11" s="25" t="str"/>
      <x:c r="F11" s="25" t="str">
        <x:v>À confirmer</x:v>
      </x:c>
      <x:c r="G11" s="25" t="str">
        <x:f>IF(OR(C11="",F11="Terminé"),"",C11-$B$4)</x:f>
      </x:c>
      <x:c r="H11" s="25" t="str">
        <x:v>Personne autorisée?</x:v>
      </x:c>
    </x:row>
    <x:row r="12">
      <x:c r="A12" s="25" t="str">
        <x:v>Échéance légale de remise</x:v>
      </x:c>
      <x:c r="B12" s="25" t="str">
        <x:v>Officielle</x:v>
      </x:c>
      <x:c r="C12" s="34" t="str"/>
      <x:c r="D12" s="25" t="str"/>
      <x:c r="E12" s="25" t="str"/>
      <x:c r="F12" s="25" t="str">
        <x:v>À vérifier</x:v>
      </x:c>
      <x:c r="G12" s="25" t="str">
        <x:f>IF(OR(C12="",F12="Terminé"),"",C12-$B$4)</x:f>
      </x:c>
      <x:c r="H12" s="25" t="str">
        <x:v>Source requise</x:v>
      </x:c>
    </x:row>
    <x:row r="13">
      <x:c r="A13" s="25" t="str">
        <x:v>Échéance légale de paiement</x:v>
      </x:c>
      <x:c r="B13" s="25" t="str">
        <x:v>Officielle</x:v>
      </x:c>
      <x:c r="C13" s="34" t="str"/>
      <x:c r="D13" s="25" t="str"/>
      <x:c r="E13" s="25" t="str"/>
      <x:c r="F13" s="25" t="str">
        <x:v>À vérifier</x:v>
      </x:c>
      <x:c r="G13" s="25" t="str">
        <x:f>IF(OR(C13="",F13="Terminé"),"",C13-$B$4)</x:f>
      </x:c>
      <x:c r="H13" s="25" t="str">
        <x:v>Contrôle distinct</x:v>
      </x:c>
    </x:row>
    <x:row r="14">
      <x:c r="A14" s="25" t="str">
        <x:v>Prolongation éventuelle</x:v>
      </x:c>
      <x:c r="B14" s="25" t="str">
        <x:v>Officielle</x:v>
      </x:c>
      <x:c r="C14" s="34" t="str"/>
      <x:c r="D14" s="25" t="str"/>
      <x:c r="E14" s="25" t="str"/>
      <x:c r="F14" s="25" t="str">
        <x:v>À vérifier</x:v>
      </x:c>
      <x:c r="G14" s="25" t="str">
        <x:f>IF(OR(C14="",F14="Terminé"),"",C14-$B$4)</x:f>
      </x:c>
      <x:c r="H14" s="25" t="str">
        <x:v>Ne pas supposer</x:v>
      </x:c>
    </x:row>
  </x:sheetData>
  <x:mergeCells>
    <x:mergeCell ref="A1:H1"/>
    <x:mergeCell ref="A2:H2"/>
    <x:mergeCell ref="D4:H4"/>
  </x:mergeCells>
  <x:conditionalFormatting sqref="G7:G14">
    <x:cfRule type="cellIs" dxfId="9" priority="1" operator="lessThan">
      <x:formula>0</x:formula>
    </x:cfRule>
  </x:conditionalFormatting>
  <x:dataValidations count="2">
    <x:dataValidation type="list" sqref="B7:B14">
      <x:formula1>"Client,Interne,Officielle"</x:formula1>
    </x:dataValidation>
    <x:dataValidation type="list" sqref="F7:F14">
      <x:formula1>"À vérifier,À planifier,Planifié,En cours,En attente,Bloqué,Terminé,Non atteint,Provisoire,À confirmer,Confirmé"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23" hidden="0" customWidth="1"/>
    <x:col min="5" max="5" width="13" hidden="0" customWidth="1"/>
    <x:col min="6" max="6" width="36" hidden="0" customWidth="1"/>
    <x:col min="7" max="7" width="30" hidden="0" customWidth="1"/>
    <x:col min="8" max="8" width="40" hidden="0" customWidth="1"/>
  </x:cols>
  <x:sheetData>
    <x:row r="1" ht="34" customHeight="1">
      <x:c r="A1" s="3" t="str">
        <x:v>Registre des demandes et extensions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Qualifier avant d’exécuter; conserver la décision et la validation</x:v>
      </x:c>
      <x:c r="B2" s="7"/>
      <x:c r="C2" s="7"/>
      <x:c r="D2" s="7"/>
      <x:c r="E2" s="7"/>
      <x:c r="F2" s="7"/>
      <x:c r="G2" s="7"/>
      <x:c r="H2" s="7"/>
    </x:row>
    <x:row r="5" ht="28" customHeight="1">
      <x:c r="A5" s="16" t="str">
        <x:v>Demande</x:v>
      </x:c>
      <x:c r="B5" s="17" t="str">
        <x:v>Demandeur</x:v>
      </x:c>
      <x:c r="C5" s="17" t="str">
        <x:v>Pouvoir confirmé?</x:v>
      </x:c>
      <x:c r="D5" s="17" t="str">
        <x:v>Dans mandat?</x:v>
      </x:c>
      <x:c r="E5" s="17" t="str">
        <x:v>Risque</x:v>
      </x:c>
      <x:c r="F5" s="17" t="str">
        <x:v>Décision</x:v>
      </x:c>
      <x:c r="G5" s="17" t="str">
        <x:v>Validation requise</x:v>
      </x:c>
      <x:c r="H5" s="18" t="str">
        <x:v>Trace / commentaire</x:v>
      </x:c>
    </x:row>
    <x:row r="6">
      <x:c r="A6" s="24" t="str">
        <x:v>Déposer TVA T2 demain</x:v>
      </x:c>
      <x:c r="B6" s="24" t="str">
        <x:v>Marc Dubois</x:v>
      </x:c>
      <x:c r="C6" s="24" t="str">
        <x:v>À vérifier</x:v>
      </x:c>
      <x:c r="D6" s="24" t="str">
        <x:v>Préparation incluse; dépôt sous conditions</x:v>
      </x:c>
      <x:c r="E6" s="24" t="str"/>
      <x:c r="F6" s="24" t="str"/>
      <x:c r="G6" s="24" t="str"/>
      <x:c r="H6" s="24" t="str"/>
    </x:row>
    <x:row r="7">
      <x:c r="A7" s="25" t="str">
        <x:v>Préparer salaires mai-juin</x:v>
      </x:c>
      <x:c r="B7" s="25" t="str">
        <x:v>Marc Dubois</x:v>
      </x:c>
      <x:c r="C7" s="25" t="str">
        <x:v>À vérifier</x:v>
      </x:c>
      <x:c r="D7" s="25" t="str">
        <x:v>Non</x:v>
      </x:c>
      <x:c r="E7" s="25" t="str"/>
      <x:c r="F7" s="25" t="str"/>
      <x:c r="G7" s="25" t="str"/>
      <x:c r="H7" s="25" t="str"/>
    </x:row>
    <x:row r="8">
      <x:c r="A8" s="25" t="str">
        <x:v>Payer cinq factures</x:v>
      </x:c>
      <x:c r="B8" s="25" t="str">
        <x:v>Marc Dubois</x:v>
      </x:c>
      <x:c r="C8" s="25" t="str">
        <x:v>À vérifier</x:v>
      </x:c>
      <x:c r="D8" s="25" t="str">
        <x:v>Non</x:v>
      </x:c>
      <x:c r="E8" s="25" t="str"/>
      <x:c r="F8" s="25" t="str"/>
      <x:c r="G8" s="25" t="str"/>
      <x:c r="H8" s="25" t="str"/>
    </x:row>
    <x:row r="9">
      <x:c r="A9" s="25" t="str">
        <x:v>Utiliser login e-banking Nadia</x:v>
      </x:c>
      <x:c r="B9" s="25" t="str">
        <x:v>Marc Dubois</x:v>
      </x:c>
      <x:c r="C9" s="25" t="str">
        <x:v>À vérifier</x:v>
      </x:c>
      <x:c r="D9" s="25" t="str">
        <x:v>Non conforme</x:v>
      </x:c>
      <x:c r="E9" s="25" t="str"/>
      <x:c r="F9" s="25" t="str"/>
      <x:c r="G9" s="25" t="str"/>
      <x:c r="H9" s="25" t="str"/>
    </x:row>
  </x:sheetData>
  <x:mergeCells>
    <x:mergeCell ref="A1:H1"/>
    <x:mergeCell ref="A2:H2"/>
  </x:mergeCells>
  <x:conditionalFormatting sqref="E6:E9">
    <x:cfRule type="containsText" dxfId="10" priority="1" operator="containsText" text="Critique"/>
    <x:cfRule type="containsText" dxfId="11" priority="2" operator="containsText" text="Élevé"/>
    <x:cfRule type="containsText" dxfId="12" priority="3" operator="containsText" text="Moyen"/>
    <x:cfRule type="containsText" dxfId="13" priority="4" operator="containsText" text="Faible"/>
  </x:conditionalFormatting>
  <x:dataValidations count="3">
    <x:dataValidation type="list" sqref="C6:C9">
      <x:formula1>"Oui,Non,À vérifier,Non confirmé,Délégation limitée,Délégation exclut paie,Délégation exclut paiements"</x:formula1>
    </x:dataValidation>
    <x:dataValidation type="list" sqref="D6:D9">
      <x:formula1>"Oui,Non,À confirmer,Hors mandat,Dépôt conditionné,Non conforme"</x:formula1>
    </x:dataValidation>
    <x:dataValidation type="list" sqref="E6:E9">
      <x:formula1>"Faible,Moyen,Élevé,Critique"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Note de décision</x:v>
      </x:c>
      <x:c r="B1" s="3"/>
      <x:c r="C1" s="3"/>
      <x:c r="D1" s="3"/>
      <x:c r="E1" s="3"/>
      <x:c r="F1" s="3"/>
    </x:row>
    <x:row r="2" ht="30" customHeight="1">
      <x:c r="A2" s="7" t="str">
        <x:v>Séparer faits, risques, décisions attendues et prochaines étapes</x:v>
      </x:c>
      <x:c r="B2" s="7"/>
      <x:c r="C2" s="7"/>
      <x:c r="D2" s="7"/>
      <x:c r="E2" s="7"/>
      <x:c r="F2" s="7"/>
    </x:row>
    <x:row r="4">
      <x:c r="A4" s="43" t="str">
        <x:v>Faits vérifiés</x:v>
      </x:c>
      <x:c r="B4" s="43"/>
      <x:c r="C4" s="43"/>
      <x:c r="D4" s="43"/>
      <x:c r="E4" s="43"/>
      <x:c r="F4" s="43"/>
    </x:row>
    <x:row r="5" ht="26" customHeight="1">
      <x:c r="A5" s="63" t="str"/>
      <x:c r="B5" s="64"/>
      <x:c r="C5" s="64"/>
      <x:c r="D5" s="64"/>
      <x:c r="E5" s="64"/>
      <x:c r="F5" s="65"/>
    </x:row>
    <x:row r="6" ht="26" customHeight="1">
      <x:c r="A6" s="66"/>
      <x:c r="B6" s="67"/>
      <x:c r="C6" s="67"/>
      <x:c r="D6" s="67"/>
      <x:c r="E6" s="67"/>
      <x:c r="F6" s="68"/>
    </x:row>
    <x:row r="7" ht="26" customHeight="1">
      <x:c r="A7" s="66"/>
      <x:c r="B7" s="67"/>
      <x:c r="C7" s="67"/>
      <x:c r="D7" s="67"/>
      <x:c r="E7" s="67"/>
      <x:c r="F7" s="68"/>
    </x:row>
    <x:row r="8" ht="26" customHeight="1">
      <x:c r="A8" s="69"/>
      <x:c r="B8" s="70"/>
      <x:c r="C8" s="70"/>
      <x:c r="D8" s="70"/>
      <x:c r="E8" s="70"/>
      <x:c r="F8" s="71"/>
    </x:row>
    <x:row r="10">
      <x:c r="A10" s="43" t="str">
        <x:v>Pièces / confirmations manquantes</x:v>
      </x:c>
      <x:c r="B10" s="43"/>
      <x:c r="C10" s="43"/>
      <x:c r="D10" s="43"/>
      <x:c r="E10" s="43"/>
      <x:c r="F10" s="43"/>
    </x:row>
    <x:row r="11" ht="26" customHeight="1">
      <x:c r="A11" s="63" t="str"/>
      <x:c r="B11" s="64"/>
      <x:c r="C11" s="64"/>
      <x:c r="D11" s="64"/>
      <x:c r="E11" s="64"/>
      <x:c r="F11" s="65"/>
    </x:row>
    <x:row r="12" ht="26" customHeight="1">
      <x:c r="A12" s="66"/>
      <x:c r="B12" s="67"/>
      <x:c r="C12" s="67"/>
      <x:c r="D12" s="67"/>
      <x:c r="E12" s="67"/>
      <x:c r="F12" s="68"/>
    </x:row>
    <x:row r="13" ht="26" customHeight="1">
      <x:c r="A13" s="66"/>
      <x:c r="B13" s="67"/>
      <x:c r="C13" s="67"/>
      <x:c r="D13" s="67"/>
      <x:c r="E13" s="67"/>
      <x:c r="F13" s="68"/>
    </x:row>
    <x:row r="14" ht="26" customHeight="1">
      <x:c r="A14" s="69"/>
      <x:c r="B14" s="70"/>
      <x:c r="C14" s="70"/>
      <x:c r="D14" s="70"/>
      <x:c r="E14" s="70"/>
      <x:c r="F14" s="71"/>
    </x:row>
    <x:row r="16">
      <x:c r="A16" s="43" t="str">
        <x:v>Risques et actes suspendus</x:v>
      </x:c>
      <x:c r="B16" s="43"/>
      <x:c r="C16" s="43"/>
      <x:c r="D16" s="43"/>
      <x:c r="E16" s="43"/>
      <x:c r="F16" s="43"/>
    </x:row>
    <x:row r="17" ht="26" customHeight="1">
      <x:c r="A17" s="63" t="str"/>
      <x:c r="B17" s="64"/>
      <x:c r="C17" s="64"/>
      <x:c r="D17" s="64"/>
      <x:c r="E17" s="64"/>
      <x:c r="F17" s="65"/>
    </x:row>
    <x:row r="18" ht="26" customHeight="1">
      <x:c r="A18" s="66"/>
      <x:c r="B18" s="67"/>
      <x:c r="C18" s="67"/>
      <x:c r="D18" s="67"/>
      <x:c r="E18" s="67"/>
      <x:c r="F18" s="68"/>
    </x:row>
    <x:row r="19" ht="26" customHeight="1">
      <x:c r="A19" s="66"/>
      <x:c r="B19" s="67"/>
      <x:c r="C19" s="67"/>
      <x:c r="D19" s="67"/>
      <x:c r="E19" s="67"/>
      <x:c r="F19" s="68"/>
    </x:row>
    <x:row r="20" ht="26" customHeight="1">
      <x:c r="A20" s="69"/>
      <x:c r="B20" s="70"/>
      <x:c r="C20" s="70"/>
      <x:c r="D20" s="70"/>
      <x:c r="E20" s="70"/>
      <x:c r="F20" s="71"/>
    </x:row>
    <x:row r="22">
      <x:c r="A22" s="43" t="str">
        <x:v>Décisions attendues du responsable</x:v>
      </x:c>
      <x:c r="B22" s="43"/>
      <x:c r="C22" s="43"/>
      <x:c r="D22" s="43"/>
      <x:c r="E22" s="43"/>
      <x:c r="F22" s="43"/>
    </x:row>
    <x:row r="23" ht="26" customHeight="1">
      <x:c r="A23" s="63" t="str"/>
      <x:c r="B23" s="64"/>
      <x:c r="C23" s="64"/>
      <x:c r="D23" s="64"/>
      <x:c r="E23" s="64"/>
      <x:c r="F23" s="65"/>
    </x:row>
    <x:row r="24" ht="26" customHeight="1">
      <x:c r="A24" s="66"/>
      <x:c r="B24" s="67"/>
      <x:c r="C24" s="67"/>
      <x:c r="D24" s="67"/>
      <x:c r="E24" s="67"/>
      <x:c r="F24" s="68"/>
    </x:row>
    <x:row r="25" ht="26" customHeight="1">
      <x:c r="A25" s="66"/>
      <x:c r="B25" s="67"/>
      <x:c r="C25" s="67"/>
      <x:c r="D25" s="67"/>
      <x:c r="E25" s="67"/>
      <x:c r="F25" s="68"/>
    </x:row>
    <x:row r="26" ht="26" customHeight="1">
      <x:c r="A26" s="69"/>
      <x:c r="B26" s="70"/>
      <x:c r="C26" s="70"/>
      <x:c r="D26" s="70"/>
      <x:c r="E26" s="70"/>
      <x:c r="F26" s="71"/>
    </x:row>
    <x:row r="28">
      <x:c r="A28" s="43" t="str">
        <x:v>Décision proposée</x:v>
      </x:c>
      <x:c r="B28" s="43"/>
      <x:c r="C28" s="43"/>
      <x:c r="D28" s="43"/>
      <x:c r="E28" s="43"/>
      <x:c r="F28" s="43"/>
    </x:row>
    <x:row r="29" ht="26" customHeight="1">
      <x:c r="A29" s="63" t="str"/>
      <x:c r="B29" s="64"/>
      <x:c r="C29" s="64"/>
      <x:c r="D29" s="64"/>
      <x:c r="E29" s="64"/>
      <x:c r="F29" s="65"/>
    </x:row>
    <x:row r="30" ht="26" customHeight="1">
      <x:c r="A30" s="66"/>
      <x:c r="B30" s="67"/>
      <x:c r="C30" s="67"/>
      <x:c r="D30" s="67"/>
      <x:c r="E30" s="67"/>
      <x:c r="F30" s="68"/>
    </x:row>
    <x:row r="31" ht="26" customHeight="1">
      <x:c r="A31" s="66"/>
      <x:c r="B31" s="67"/>
      <x:c r="C31" s="67"/>
      <x:c r="D31" s="67"/>
      <x:c r="E31" s="67"/>
      <x:c r="F31" s="68"/>
    </x:row>
    <x:row r="32" ht="26" customHeight="1">
      <x:c r="A32" s="69"/>
      <x:c r="B32" s="70"/>
      <x:c r="C32" s="70"/>
      <x:c r="D32" s="70"/>
      <x:c r="E32" s="70"/>
      <x:c r="F32" s="71"/>
    </x:row>
    <x:row r="34">
      <x:c r="A34" s="43" t="str">
        <x:v>Projet d’e-mail client</x:v>
      </x:c>
      <x:c r="B34" s="43"/>
      <x:c r="C34" s="43"/>
      <x:c r="D34" s="43"/>
      <x:c r="E34" s="43"/>
      <x:c r="F34" s="43"/>
    </x:row>
    <x:row r="35" ht="26" customHeight="1">
      <x:c r="A35" s="63" t="str"/>
      <x:c r="B35" s="64"/>
      <x:c r="C35" s="64"/>
      <x:c r="D35" s="64"/>
      <x:c r="E35" s="64"/>
      <x:c r="F35" s="65"/>
    </x:row>
    <x:row r="36" ht="26" customHeight="1">
      <x:c r="A36" s="66"/>
      <x:c r="B36" s="67"/>
      <x:c r="C36" s="67"/>
      <x:c r="D36" s="67"/>
      <x:c r="E36" s="67"/>
      <x:c r="F36" s="68"/>
    </x:row>
    <x:row r="37" ht="26" customHeight="1">
      <x:c r="A37" s="66"/>
      <x:c r="B37" s="67"/>
      <x:c r="C37" s="67"/>
      <x:c r="D37" s="67"/>
      <x:c r="E37" s="67"/>
      <x:c r="F37" s="68"/>
    </x:row>
    <x:row r="38" ht="26" customHeight="1">
      <x:c r="A38" s="66"/>
      <x:c r="B38" s="67"/>
      <x:c r="C38" s="67"/>
      <x:c r="D38" s="67"/>
      <x:c r="E38" s="67"/>
      <x:c r="F38" s="68"/>
    </x:row>
    <x:row r="39" ht="26" customHeight="1">
      <x:c r="A39" s="66"/>
      <x:c r="B39" s="67"/>
      <x:c r="C39" s="67"/>
      <x:c r="D39" s="67"/>
      <x:c r="E39" s="67"/>
      <x:c r="F39" s="68"/>
    </x:row>
    <x:row r="40" ht="26" customHeight="1">
      <x:c r="A40" s="66"/>
      <x:c r="B40" s="67"/>
      <x:c r="C40" s="67"/>
      <x:c r="D40" s="67"/>
      <x:c r="E40" s="67"/>
      <x:c r="F40" s="68"/>
    </x:row>
    <x:row r="41" ht="26" customHeight="1">
      <x:c r="A41" s="66"/>
      <x:c r="B41" s="67"/>
      <x:c r="C41" s="67"/>
      <x:c r="D41" s="67"/>
      <x:c r="E41" s="67"/>
      <x:c r="F41" s="68"/>
    </x:row>
    <x:row r="42" ht="26" customHeight="1">
      <x:c r="A42" s="69"/>
      <x:c r="B42" s="70"/>
      <x:c r="C42" s="70"/>
      <x:c r="D42" s="70"/>
      <x:c r="E42" s="70"/>
      <x:c r="F42" s="71"/>
    </x:row>
  </x:sheetData>
  <x:mergeCells>
    <x:mergeCell ref="A1:F1"/>
    <x:mergeCell ref="A2:F2"/>
    <x:mergeCell ref="A4:F4"/>
    <x:mergeCell ref="A5:F8"/>
    <x:mergeCell ref="A10:F10"/>
    <x:mergeCell ref="A11:F14"/>
    <x:mergeCell ref="A16:F16"/>
    <x:mergeCell ref="A17:F20"/>
    <x:mergeCell ref="A22:F22"/>
    <x:mergeCell ref="A23:F26"/>
    <x:mergeCell ref="A28:F28"/>
    <x:mergeCell ref="A29:F32"/>
    <x:mergeCell ref="A34:F34"/>
    <x:mergeCell ref="A35:F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7" hidden="0" customWidth="1"/>
    <x:col min="3" max="3" width="65" hidden="0" customWidth="1"/>
    <x:col min="4" max="4" width="45" hidden="0" customWidth="1"/>
  </x:cols>
  <x:sheetData>
    <x:row r="1" ht="34" customHeight="1">
      <x:c r="A1" s="3" t="str">
        <x:v>Sources officielles</x:v>
      </x:c>
      <x:c r="B1" s="3"/>
      <x:c r="C1" s="3"/>
      <x:c r="D1" s="3"/>
    </x:row>
    <x:row r="2" ht="30" customHeight="1">
      <x:c r="A2" s="7" t="str">
        <x:v>Version 1.3 · revues pour la construction pédagogique le 6 août 2026</x:v>
      </x:c>
      <x:c r="B2" s="7"/>
      <x:c r="C2" s="7"/>
      <x:c r="D2" s="7"/>
    </x:row>
    <x:row r="5" ht="28" customHeight="1">
      <x:c r="A5" s="16" t="str">
        <x:v>Source</x:v>
      </x:c>
      <x:c r="B5" s="17" t="str">
        <x:v>Référence</x:v>
      </x:c>
      <x:c r="C5" s="17" t="str">
        <x:v>URL</x:v>
      </x:c>
      <x:c r="D5" s="18" t="str">
        <x:v>Usage</x:v>
      </x:c>
    </x:row>
    <x:row r="6">
      <x:c r="A6" s="24" t="str">
        <x:v>Code des obligations (CO; RS 220)</x:v>
      </x:c>
      <x:c r="B6" s="24" t="str">
        <x:v>art. 394, 397, 398, 400, 716a al. 1 ch. 3, 810 al. 2 ch. 3, 957, 957a et 958f</x:v>
      </x:c>
      <x:c r="C6" s="24" t="str">
        <x:v>https://www.fedlex.admin.ch/eli/cc/27/317_321_377/fr</x:v>
      </x:c>
      <x:c r="D6" s="24" t="str">
        <x:v>Mandat, diligence, reddition de compte, responsabilité des organes, tenue et conservation de la comptabilité.</x:v>
      </x:c>
    </x:row>
    <x:row r="7">
      <x:c r="A7" s="25" t="str">
        <x:v>Ordonnance concernant la tenue et la conservation des livres de comptes (Olico; RS 221.431)</x:v>
      </x:c>
      <x:c r="B7" s="25" t="str">
        <x:v>art. 2 à 10</x:v>
      </x:c>
      <x:c r="C7" s="25" t="str">
        <x:v>https://www.fedlex.admin.ch/eli/cc/2002/216/fr</x:v>
      </x:c>
      <x:c r="D7" s="25" t="str">
        <x:v>Principes de tenue, disponibilité, lisibilité, intégrité et organisation de la conservation.</x:v>
      </x:c>
    </x:row>
    <x:row r="8">
      <x:c r="A8" s="25" t="str">
        <x:v>Loi fédérale sur la protection des données (LPD; RS 235.1)</x:v>
      </x:c>
      <x:c r="B8" s="25" t="str">
        <x:v>art. 6 à 9 et 24</x:v>
      </x:c>
      <x:c r="C8" s="25" t="str">
        <x:v>https://www.fedlex.admin.ch/eli/cc/2022/491/fr</x:v>
      </x:c>
      <x:c r="D8" s="25" t="str">
        <x:v>Proportionnalité, protection dès la conception, sécurité, sous-traitance et réaction aux violations de sécurité.</x:v>
      </x:c>
    </x:row>
    <x:row r="9">
      <x:c r="A9" s="25" t="str">
        <x:v>PFPDT - Traitement de données dans un nuage informatique</x:v>
      </x:c>
      <x:c r="B9" s="25" t="str">
        <x:v>Guide officiel</x:v>
      </x:c>
      <x:c r="C9" s="25" t="str">
        <x:v>https://www.edoeb.admin.ch/fr/traitement-de-donnees-dans-un-nuage-informatique</x:v>
      </x:c>
      <x:c r="D9" s="25" t="str">
        <x:v>Vérifier le rôle du cabinet, les sous-traitants, les pays de traitement et les mesures contractuelles et techniques.</x:v>
      </x:c>
    </x:row>
    <x:row r="10">
      <x:c r="A10" s="25" t="str">
        <x:v>Loi fédérale régissant la TVA (LTVA; RS 641.20)</x:v>
      </x:c>
      <x:c r="B10" s="25" t="str">
        <x:v>art. 71 al. 1 et 86 al. 1</x:v>
      </x:c>
      <x:c r="C10" s="25" t="str">
        <x:v>https://www.fedlex.admin.ch/eli/cc/2009/615/fr</x:v>
      </x:c>
      <x:c r="D10" s="25" t="str">
        <x:v>Remise du décompte et paiement dans les 60 jours suivant la fin de la période de décompte.</x:v>
      </x:c>
    </x:row>
    <x:row r="11">
      <x:c r="A11" s="25" t="str">
        <x:v>AFC - Payer la TVA</x:v>
      </x:c>
      <x:c r="B11" s="25" t="str">
        <x:v>Remise et paiement du décompte</x:v>
      </x:c>
      <x:c r="C11" s="25" t="str">
        <x:v>https://www.estv.admin.ch/fr/payer-la-tva</x:v>
      </x:c>
      <x:c r="D11" s="25" t="str">
        <x:v>Rappel opérationnel du délai de 60 jours pour la remise et le paiement.</x:v>
      </x:c>
    </x:row>
    <x:row r="12">
      <x:c r="A12" s="25" t="str">
        <x:v>Loi fédérale sur la procédure administrative (PA; RS 172.021)</x:v>
      </x:c>
      <x:c r="B12" s="25" t="str">
        <x:v>art. 20 al. 3</x:v>
      </x:c>
      <x:c r="C12" s="25" t="str">
        <x:v>https://www.fedlex.admin.ch/eli/cc/1969/737_757_755/fr</x:v>
      </x:c>
      <x:c r="D12" s="25" t="str">
        <x:v>Report au premier jour ouvrable lorsque le dernier jour tombe un samedi, dimanche ou jour férié reconnu.</x:v>
      </x:c>
    </x:row>
    <x:row r="13">
      <x:c r="A13" s="25" t="str">
        <x:v>Loi sur le blanchiment d’argent (LBA; RS 955.0)</x:v>
      </x:c>
      <x:c r="B13" s="25" t="str">
        <x:v>art. 2 al. 3 let. b</x:v>
      </x:c>
      <x:c r="C13" s="25" t="str">
        <x:v>https://www.fedlex.admin.ch/eli/cc/1998/892_892_892/fr</x:v>
      </x:c>
      <x:c r="D13" s="25" t="str">
        <x:v>Base légale à contrôler lorsqu’une activité implique des services dans le domaine du trafic des paiements pour des tiers.</x:v>
      </x:c>
    </x:row>
    <x:row r="14">
      <x:c r="A14" s="25" t="str">
        <x:v>Ordonnance sur le blanchiment d’argent (OBA; RS 955.01)</x:v>
      </x:c>
      <x:c r="B14" s="25" t="str">
        <x:v>art. 4 et 7</x:v>
      </x:c>
      <x:c r="C14" s="25" t="str">
        <x:v>https://www.fedlex.admin.ch/eli/cc/2015/791/fr</x:v>
      </x:c>
      <x:c r="D14" s="25" t="str">
        <x:v>Précise notamment les services relevant du trafic des paiements et les critères généraux d’exercice à titre professionnel; la qualification concrète reste à confier à la personne compétente.</x:v>
      </x:c>
    </x:row>
    <x:row r="15">
      <x:c r="A15" s="25" t="str">
        <x:v>FINMA - Orientation réglementaire et pratique sur le trafic des paiements</x:v>
      </x:c>
      <x:c r="B15" s="25" t="str">
        <x:v>Orientation LBA; Circulaire FINMA 2011/1 référencée par la FINMA</x:v>
      </x:c>
      <x:c r="C15" s="25" t="str">
        <x:v>https://www.finma.ch/fr/autorisation/fintech/</x:v>
      </x:c>
      <x:c r="D15" s="25" t="str">
        <x:v>La FINMA indique que l’activité fiduciaire et les services de paiement peuvent relever de la LBA selon l’activité concrète; le junior doit escalader avant acceptation.</x:v>
      </x:c>
    </x:row>
    <x:row r="16">
      <x:c r="A16" s="25" t="str">
        <x:v>Index central des raisons de commerce Zefix</x:v>
      </x:c>
      <x:c r="B16" s="25" t="str">
        <x:v>Registre public</x:v>
      </x:c>
      <x:c r="C16" s="25" t="str">
        <x:v>https://www.zefix.admin.ch</x:v>
      </x:c>
      <x:c r="D16" s="25" t="str">
        <x:v>Vérifier l’existence de l’entité, son siège, ses organes et les pouvoirs de signature publiés.</x:v>
      </x:c>
    </x:row>
    <x:row r="17">
      <x:c r="A17" s="25" t="str">
        <x:v>Registre IDE de l’Office fédéral de la statistique</x:v>
      </x:c>
      <x:c r="B17" s="25" t="str">
        <x:v>Registre public</x:v>
      </x:c>
      <x:c r="C17" s="25" t="str">
        <x:v>https://www.uid.admin.ch</x:v>
      </x:c>
      <x:c r="D17" s="25" t="str">
        <x:v>Vérifier l’identification de l’entreprise et les mentions publiques disponibles, notamment le statut TVA lorsque publié.</x:v>
      </x:c>
    </x:row>
  </x:sheetData>
  <x:mergeCells>
    <x:mergeCell ref="A1:D1"/>
    <x:mergeCell ref="A2:D2"/>
  </x:mergeCells>
  <x:pageMargins left="0.7" right="0.7" top="0.75" bottom="0.75" header="0.3" footer="0.3"/>
</x:worksheet>
</file>